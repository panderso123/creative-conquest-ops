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I Report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<sst xmlns="http://schemas.openxmlformats.org/spreadsheetml/2006/main" count="39" uniqueCount="38">
  <si>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CREATIVE CONQUEST</t>
  </si>
  <si>
    <t xml:space="preserve">Monthly ROI Report</t>
  </si>
  <si>
    <t xml:space="preserve">The booked calendar and bought-back time - not 'video'. Blue = you fill in; black = auto-calculated.</t>
  </si>
  <si>
    <t xml:space="preserve">Client</t>
  </si>
  <si>
    <t xml:space="preserve">Reporting month</t>
  </si>
  <si>
    <t xml:space="preserve">Tier / plan</t>
  </si>
  <si>
    <t xml:space="preserve">Monthly fee ($)</t>
  </si>
  <si>
    <t xml:space="preserve">1 · REACH &amp; ENGAGEMENT</t>
  </si>
  <si>
    <t xml:space="preserve">This month</t>
  </si>
  <si>
    <t xml:space="preserve">Videos delivered to standard</t>
  </si>
  <si>
    <t xml:space="preserve">Total views</t>
  </si>
  <si>
    <t xml:space="preserve">Total engagements (likes+comments+shares+saves)</t>
  </si>
  <si>
    <t xml:space="preserve">Engagement rate</t>
  </si>
  <si>
    <t xml:space="preserve">Auto: engagements / views</t>
  </si>
  <si>
    <t xml:space="preserve">Profile / website visits from content</t>
  </si>
  <si>
    <t xml:space="preserve">Follower growth (net new)</t>
  </si>
  <si>
    <t xml:space="preserve">2 · PIPELINE &amp; BOOKINGS</t>
  </si>
  <si>
    <t xml:space="preserve">Inbound DMs / inquiries</t>
  </si>
  <si>
    <t xml:space="preserve">Consults booked</t>
  </si>
  <si>
    <t xml:space="preserve">Consults attributed to content</t>
  </si>
  <si>
    <t xml:space="preserve">New clients closed from content</t>
  </si>
  <si>
    <t xml:space="preserve">3 · REVENUE &amp; ROI</t>
  </si>
  <si>
    <t xml:space="preserve">Avg. annual value per new client ($)</t>
  </si>
  <si>
    <t xml:space="preserve">Playbook: $1,500-$3,000+/yr</t>
  </si>
  <si>
    <t xml:space="preserve">Est. revenue attributed (annualized)</t>
  </si>
  <si>
    <t xml:space="preserve">Auto: new clients x annual value</t>
  </si>
  <si>
    <t xml:space="preserve">ROI multiple (annual rev / monthly fee)</t>
  </si>
  <si>
    <t xml:space="preserve">Cost per consult booked ($)</t>
  </si>
  <si>
    <t xml:space="preserve">THE HEADLINE</t>
  </si>
  <si>
    <t xml:space="preserve">Notes / wins this month:</t>
  </si>
  <si>
    <t xml:space="preserve">How to use this report</t>
  </si>
  <si>
    <t xml:space="preserve">- Fill only the BLUE cells each month - everything in black calculates automatically.</t>
  </si>
  <si>
    <t xml:space="preserve">- Pull reach numbers from native analytics (Instagram/TikTok/YouTube insights) or Buffer/Meta Suite.</t>
  </si>
  <si>
    <t xml:space="preserve">- 'Attributed to content' = bookings where the lead came from a Reel/Short/TikTok or a content-driven DM. Ask at intake: 'How did you hear about us?'</t>
  </si>
  <si>
    <t xml:space="preserve">- Avg. annual client value: confirm with the client at onboarding; playbook range is $1,500-$3,000+/yr. Default is $2,250.</t>
  </si>
  <si>
    <t xml:space="preserve">- ROI multiple is the number that renews the retainer - lead the monthly call with it.</t>
  </si>
  <si>
    <t xml:space="preserve">- Growth tier = monthly report + call. Authority tier = bi-weekly. Duplicate this file per client per month.</t>
  </si>
  <si>
    <t xml:space="preserve">Guarantee reminder: satisfaction-based on quality of work - never promise specific income or booking numbers.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</si>
</sst>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0.0%"/>
    <numFmt numFmtId="168" formatCode="0.0\x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B08D57"/>
      <name val="Arial"/>
      <family val="0"/>
      <charset val="1"/>
    </font>
    <font>
      <b val="true"/>
      <sz val="18"/>
      <color rgb="FF1F3A5F"/>
      <name val="Arial"/>
      <family val="0"/>
      <charset val="1"/>
    </font>
    <font>
      <i val="true"/>
      <sz val="10"/>
      <color rgb="FF8A8A8A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8A8A8A"/>
      <name val="Arial"/>
      <family val="0"/>
      <charset val="1"/>
    </font>
    <font>
      <b val="true"/>
      <sz val="12"/>
      <color rgb="FFB08D57"/>
      <name val="Arial"/>
      <family val="0"/>
      <charset val="1"/>
    </font>
    <font>
      <b val="true"/>
      <sz val="10"/>
      <color rgb="FFB08D57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9"/>
      <color rgb="FF8A8A8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08D57"/>
      </bottom>
      <diagonal/>
    </border>
    <border diagonalUp="false" diagonalDown="false"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5"/>
      <rgbColor rgb="FF8A8A8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08D57"/>
      <rgbColor rgb="FF1F3A5F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30"/>
  </cols>
  <sheetData>
    <row r="1" customFormat="false" ht="15" hidden="false" customHeight="false" outlineLevel="0" collapsed="false">
      <c r="B1" s="1" t="s">
        <v>0</v>
      </c>
    </row>
    <row r="2" customFormat="false" ht="22.0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5" customFormat="false" ht="15" hidden="false" customHeight="false" outlineLevel="0" collapsed="false">
      <c r="B5" s="4" t="s">
        <v>3</v>
      </c>
      <c r="C5" s="5"/>
    </row>
    <row r="6" customFormat="false" ht="15" hidden="false" customHeight="false" outlineLevel="0" collapsed="false">
      <c r="B6" s="4" t="s">
        <v>4</v>
      </c>
      <c r="C6" s="5"/>
    </row>
    <row r="7" customFormat="false" ht="15" hidden="false" customHeight="false" outlineLevel="0" collapsed="false">
      <c r="B7" s="4" t="s">
        <v>5</v>
      </c>
      <c r="C7" s="5"/>
    </row>
    <row r="8" customFormat="false" ht="15" hidden="false" customHeight="false" outlineLevel="0" collapsed="false">
      <c r="B8" s="4" t="s">
        <v>6</v>
      </c>
      <c r="C8" s="6" t="n">
        <v>3250</v>
      </c>
    </row>
    <row r="10" customFormat="false" ht="15" hidden="false" customHeight="false" outlineLevel="0" collapsed="false">
      <c r="B10" s="7" t="s">
        <v>7</v>
      </c>
      <c r="C10" s="8" t="s">
        <v>8</v>
      </c>
      <c r="D10" s="9"/>
    </row>
    <row r="11" customFormat="false" ht="15" hidden="false" customHeight="false" outlineLevel="0" collapsed="false">
      <c r="B11" s="10" t="s">
        <v>9</v>
      </c>
      <c r="C11" s="11" t="n">
        <v>20</v>
      </c>
      <c r="D11" s="12"/>
    </row>
    <row r="12" customFormat="false" ht="15" hidden="false" customHeight="false" outlineLevel="0" collapsed="false">
      <c r="B12" s="10" t="s">
        <v>10</v>
      </c>
      <c r="C12" s="11" t="n">
        <v>0</v>
      </c>
      <c r="D12" s="12"/>
    </row>
    <row r="13" customFormat="false" ht="15" hidden="false" customHeight="false" outlineLevel="0" collapsed="false">
      <c r="B13" s="10" t="s">
        <v>11</v>
      </c>
      <c r="C13" s="11" t="n">
        <v>0</v>
      </c>
      <c r="D13" s="12"/>
    </row>
    <row r="14" customFormat="false" ht="15" hidden="false" customHeight="false" outlineLevel="0" collapsed="false">
      <c r="B14" s="10" t="s">
        <v>12</v>
      </c>
      <c r="C14" s="13" t="n">
        <f aca="false">IF(C12=0,0,C13/C12)</f>
        <v>0</v>
      </c>
      <c r="D14" s="12"/>
      <c r="E14" s="14" t="s">
        <v>13</v>
      </c>
    </row>
    <row r="15" customFormat="false" ht="15" hidden="false" customHeight="false" outlineLevel="0" collapsed="false">
      <c r="B15" s="10" t="s">
        <v>14</v>
      </c>
      <c r="C15" s="11" t="n">
        <v>0</v>
      </c>
      <c r="D15" s="12"/>
    </row>
    <row r="16" customFormat="false" ht="15" hidden="false" customHeight="false" outlineLevel="0" collapsed="false">
      <c r="B16" s="10" t="s">
        <v>15</v>
      </c>
      <c r="C16" s="11" t="n">
        <v>0</v>
      </c>
      <c r="D16" s="12"/>
    </row>
    <row r="18" customFormat="false" ht="15" hidden="false" customHeight="false" outlineLevel="0" collapsed="false">
      <c r="B18" s="7" t="s">
        <v>16</v>
      </c>
      <c r="C18" s="9"/>
      <c r="D18" s="9"/>
    </row>
    <row r="19" customFormat="false" ht="15" hidden="false" customHeight="false" outlineLevel="0" collapsed="false">
      <c r="B19" s="10" t="s">
        <v>17</v>
      </c>
      <c r="C19" s="11" t="n">
        <v>0</v>
      </c>
      <c r="D19" s="12"/>
    </row>
    <row r="20" customFormat="false" ht="15" hidden="false" customHeight="false" outlineLevel="0" collapsed="false">
      <c r="B20" s="10" t="s">
        <v>18</v>
      </c>
      <c r="C20" s="11" t="n">
        <v>0</v>
      </c>
      <c r="D20" s="12"/>
    </row>
    <row r="21" customFormat="false" ht="15" hidden="false" customHeight="false" outlineLevel="0" collapsed="false">
      <c r="B21" s="10" t="s">
        <v>19</v>
      </c>
      <c r="C21" s="11" t="n">
        <v>0</v>
      </c>
      <c r="D21" s="12"/>
    </row>
    <row r="22" customFormat="false" ht="15" hidden="false" customHeight="false" outlineLevel="0" collapsed="false">
      <c r="B22" s="10" t="s">
        <v>20</v>
      </c>
      <c r="C22" s="11" t="n">
        <v>0</v>
      </c>
      <c r="D22" s="12"/>
    </row>
    <row r="24" customFormat="false" ht="15" hidden="false" customHeight="false" outlineLevel="0" collapsed="false">
      <c r="B24" s="7" t="s">
        <v>21</v>
      </c>
      <c r="C24" s="9"/>
      <c r="D24" s="9"/>
    </row>
    <row r="25" customFormat="false" ht="15" hidden="false" customHeight="false" outlineLevel="0" collapsed="false">
      <c r="B25" s="10" t="s">
        <v>22</v>
      </c>
      <c r="C25" s="15" t="n">
        <v>2250</v>
      </c>
      <c r="D25" s="12"/>
      <c r="E25" s="14" t="s">
        <v>23</v>
      </c>
    </row>
    <row r="26" customFormat="false" ht="15" hidden="false" customHeight="false" outlineLevel="0" collapsed="false">
      <c r="B26" s="16" t="s">
        <v>24</v>
      </c>
      <c r="C26" s="17" t="n">
        <f aca="false">C22*C25</f>
        <v>0</v>
      </c>
      <c r="D26" s="12"/>
      <c r="E26" s="14" t="s">
        <v>25</v>
      </c>
    </row>
    <row r="27" customFormat="false" ht="15" hidden="false" customHeight="false" outlineLevel="0" collapsed="false">
      <c r="B27" s="10" t="s">
        <v>6</v>
      </c>
      <c r="C27" s="17" t="n">
        <f aca="false">C8</f>
        <v>3250</v>
      </c>
      <c r="D27" s="12"/>
    </row>
    <row r="28" customFormat="false" ht="15" hidden="false" customHeight="false" outlineLevel="0" collapsed="false">
      <c r="B28" s="16" t="s">
        <v>26</v>
      </c>
      <c r="C28" s="18" t="n">
        <f aca="false">IF(C27=0,0,C26/C27)</f>
        <v>0</v>
      </c>
      <c r="D28" s="12"/>
    </row>
    <row r="29" customFormat="false" ht="15" hidden="false" customHeight="false" outlineLevel="0" collapsed="false">
      <c r="B29" s="10" t="s">
        <v>27</v>
      </c>
      <c r="C29" s="17" t="n">
        <f aca="false">IF(C20=0,0,C27/C20)</f>
        <v>0</v>
      </c>
      <c r="D29" s="12"/>
    </row>
    <row r="31" customFormat="false" ht="15" hidden="false" customHeight="false" outlineLevel="0" collapsed="false">
      <c r="B31" s="19" t="s">
        <v>28</v>
      </c>
    </row>
    <row r="32" customFormat="false" ht="17.35" hidden="false" customHeight="false" outlineLevel="0" collapsed="false">
      <c r="B32" s="20" t="str">
        <f aca="false">CONCATENATE("Delivered ",C11," videos. ",TEXT(C12,"#,##0")," views. ",C20," consults booked.")</f>
        <v>Delivered 20 videos. 0 views. 0 consults booked.</v>
      </c>
    </row>
    <row r="34" customFormat="false" ht="15" hidden="false" customHeight="false" outlineLevel="0" collapsed="false">
      <c r="B34" s="21" t="s">
        <v>29</v>
      </c>
    </row>
    <row r="35" customFormat="false" ht="15" hidden="false" customHeight="false" outlineLevel="0" collapsed="false">
      <c r="B35" s="22"/>
      <c r="C35" s="22"/>
      <c r="D35" s="22"/>
      <c r="E35" s="22"/>
    </row>
    <row r="36" customFormat="false" ht="15" hidden="false" customHeight="false" outlineLevel="0" collapsed="false">
      <c r="B36" s="22"/>
      <c r="C36" s="22"/>
      <c r="D36" s="22"/>
      <c r="E36" s="22"/>
    </row>
    <row r="37" customFormat="false" ht="15" hidden="false" customHeight="false" outlineLevel="0" collapsed="false">
      <c r="B37" s="22"/>
      <c r="C37" s="22"/>
      <c r="D37" s="22"/>
      <c r="E37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</cols>
  <sheetData>
    <row r="1" customFormat="false" ht="22.05" hidden="false" customHeight="false" outlineLevel="0" collapsed="false">
      <c r="B1" s="2" t="s">
        <v>30</v>
      </c>
    </row>
    <row r="3" customFormat="false" ht="30" hidden="false" customHeight="true" outlineLevel="0" collapsed="false">
      <c r="B3" s="23" t="s">
        <v>31</v>
      </c>
    </row>
    <row r="4" customFormat="false" ht="30" hidden="false" customHeight="true" outlineLevel="0" collapsed="false">
      <c r="B4" s="23" t="s">
        <v>32</v>
      </c>
    </row>
    <row r="5" customFormat="false" ht="30" hidden="false" customHeight="true" outlineLevel="0" collapsed="false">
      <c r="B5" s="23" t="s">
        <v>33</v>
      </c>
    </row>
    <row r="6" customFormat="false" ht="30" hidden="false" customHeight="true" outlineLevel="0" collapsed="false">
      <c r="B6" s="23" t="s">
        <v>34</v>
      </c>
    </row>
    <row r="7" customFormat="false" ht="30" hidden="false" customHeight="true" outlineLevel="0" collapsed="false">
      <c r="B7" s="23" t="s">
        <v>35</v>
      </c>
    </row>
    <row r="8" customFormat="false" ht="30" hidden="false" customHeight="true" outlineLevel="0" collapsed="false">
      <c r="B8" s="23" t="s">
        <v>36</v>
      </c>
    </row>
    <row r="10" customFormat="false" ht="15" hidden="false" customHeight="false" outlineLevel="0" collapsed="false">
      <c r="B10" s="2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2026-06-20T07:08:41Z</dcterms:created>
  <dc:creator>openpyxl</dc:creator>
  <dc:description/>
  <dc:language>en-US</dc:language>
  <cp:lastModifiedBy/>
  <dcterms:modified xsi:type="dcterms:W3CDTF">2026-06-20T07:08:41Z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
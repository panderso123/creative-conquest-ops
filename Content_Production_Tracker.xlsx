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 Tracker" sheetId="1" state="visible" r:id="rId3"/>
    <sheet name="Pipeline Summary" sheetId="2" state="visible" r:id="rId4"/>
    <sheet name="Monthly Calenda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<sst xmlns="http://schemas.openxmlformats.org/spreadsheetml/2006/main" count="49" uniqueCount="48">
  <si>
    <t xml:space="preserve">CREATIVE CONQUEST  -  Content Production Tracker</t>
  </si>
  <si>
    <t xml:space="preserve">20 videos / month to standard - film -&gt; edit -&gt; QA -&gt; approve -&gt; schedule. One row per video.</t>
  </si>
  <si>
    <t xml:space="preserve">Client:</t>
  </si>
  <si>
    <t xml:space="preserve">________________</t>
  </si>
  <si>
    <t xml:space="preserve">Month:</t>
  </si>
  <si>
    <t xml:space="preserve">Tier:</t>
  </si>
  <si>
    <t xml:space="preserve">Growth (20/mo)</t>
  </si>
  <si>
    <t xml:space="preserve">#</t>
  </si>
  <si>
    <t xml:space="preserve">Working Title</t>
  </si>
  <si>
    <t xml:space="preserve">Hook / Angle</t>
  </si>
  <si>
    <t xml:space="preserve">Content Pillar</t>
  </si>
  <si>
    <t xml:space="preserve">Film Date</t>
  </si>
  <si>
    <t xml:space="preserve">Editor</t>
  </si>
  <si>
    <t xml:space="preserve">Edit Status</t>
  </si>
  <si>
    <t xml:space="preserve">QA</t>
  </si>
  <si>
    <t xml:space="preserve">Client Approved</t>
  </si>
  <si>
    <t xml:space="preserve">Schedule Date</t>
  </si>
  <si>
    <t xml:space="preserve">Platform(s)</t>
  </si>
  <si>
    <t xml:space="preserve">Posted?</t>
  </si>
  <si>
    <t xml:space="preserve">Post Link</t>
  </si>
  <si>
    <t xml:space="preserve">Notes</t>
  </si>
  <si>
    <t xml:space="preserve">Pipeline Summary</t>
  </si>
  <si>
    <t xml:space="preserve">Live counts from the Production Tracker. Target = 20 delivered to standard each month.</t>
  </si>
  <si>
    <t xml:space="preserve">Metric</t>
  </si>
  <si>
    <t xml:space="preserve">Count</t>
  </si>
  <si>
    <t xml:space="preserve">Videos in tracker</t>
  </si>
  <si>
    <t xml:space="preserve">Editing in progress</t>
  </si>
  <si>
    <t xml:space="preserve">In revisions</t>
  </si>
  <si>
    <t xml:space="preserve">Edits done</t>
  </si>
  <si>
    <t xml:space="preserve">Passed QA</t>
  </si>
  <si>
    <t xml:space="preserve">Client approved</t>
  </si>
  <si>
    <t xml:space="preserve">Scheduled or posted</t>
  </si>
  <si>
    <t xml:space="preserve">Posted (live)</t>
  </si>
  <si>
    <t xml:space="preserve">Monthly target</t>
  </si>
  <si>
    <t xml:space="preserve">% to target (posted)</t>
  </si>
  <si>
    <t xml:space="preserve">Posting Calendar - schedule ~5/week</t>
  </si>
  <si>
    <t xml:space="preserve">Drop each video's working title into a day once it clears QA and approval.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</si>
  <si>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</si>
  <si>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</si>
  <si>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</si>
  <si>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</si>
  <si>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</si>
  <si>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</si>
  <si>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</si>
  <si>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Week 1</t>
  </si>
  <si>
    <t xml:space="preserve">Week 2</t>
  </si>
  <si>
    <t xml:space="preserve">Week 3</t>
  </si>
  <si>
    <t xml:space="preserve">Week 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</si>
</sst>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8A8A8A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8A8A8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2EE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5"/>
      </left>
      <right style="thin">
        <color rgb="FFD9D2C5"/>
      </right>
      <top style="thin">
        <color rgb="FFD9D2C5"/>
      </top>
      <bottom style="thin">
        <color rgb="FFD9D2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5"/>
      <rgbColor rgb="FF8A8A8A"/>
      <rgbColor rgb="FF9999FF"/>
      <rgbColor rgb="FF993366"/>
      <rgbColor rgb="FFF2EE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9"/>
    <col collapsed="false" customWidth="true" hidden="false" outlineLevel="0" max="13" min="13" style="0" width="22"/>
    <col collapsed="false" customWidth="true" hidden="false" outlineLevel="0" max="14" min="14" style="0" width="2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s">
        <v>3</v>
      </c>
      <c r="D3" s="3" t="s">
        <v>4</v>
      </c>
      <c r="E3" s="4" t="s">
        <v>3</v>
      </c>
      <c r="G3" s="3" t="s">
        <v>5</v>
      </c>
      <c r="H3" s="4" t="s">
        <v>6</v>
      </c>
    </row>
    <row r="5" customFormat="false" ht="23.85" hidden="false" customHeight="false" outlineLevel="0" collapsed="false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17</v>
      </c>
      <c r="L5" s="5" t="s">
        <v>18</v>
      </c>
      <c r="M5" s="5" t="s">
        <v>19</v>
      </c>
      <c r="N5" s="5" t="s">
        <v>20</v>
      </c>
    </row>
    <row r="6" customFormat="false" ht="15" hidden="false" customHeight="false" outlineLevel="0" collapsed="false">
      <c r="A6" s="6" t="n">
        <v>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5" hidden="false" customHeight="false" outlineLevel="0" collapsed="false">
      <c r="A7" s="7" t="n">
        <v>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customFormat="false" ht="15" hidden="false" customHeight="false" outlineLevel="0" collapsed="false">
      <c r="A8" s="6" t="n">
        <v>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customFormat="false" ht="15" hidden="false" customHeight="false" outlineLevel="0" collapsed="false">
      <c r="A9" s="7" t="n">
        <v>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customFormat="false" ht="15" hidden="false" customHeight="false" outlineLevel="0" collapsed="false">
      <c r="A10" s="6" t="n">
        <v>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customFormat="false" ht="15" hidden="false" customHeight="false" outlineLevel="0" collapsed="false">
      <c r="A11" s="7" t="n">
        <v>6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customFormat="false" ht="15" hidden="false" customHeight="false" outlineLevel="0" collapsed="false">
      <c r="A12" s="6" t="n">
        <v>7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customFormat="false" ht="15" hidden="false" customHeight="false" outlineLevel="0" collapsed="false">
      <c r="A13" s="7" t="n">
        <v>8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customFormat="false" ht="15" hidden="false" customHeight="false" outlineLevel="0" collapsed="false">
      <c r="A14" s="6" t="n">
        <v>9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customFormat="false" ht="15" hidden="false" customHeight="false" outlineLevel="0" collapsed="false">
      <c r="A15" s="7" t="n">
        <v>10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customFormat="false" ht="15" hidden="false" customHeight="false" outlineLevel="0" collapsed="false">
      <c r="A16" s="6" t="n">
        <v>11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customFormat="false" ht="15" hidden="false" customHeight="false" outlineLevel="0" collapsed="false">
      <c r="A17" s="7" t="n">
        <v>12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customFormat="false" ht="15" hidden="false" customHeight="false" outlineLevel="0" collapsed="false">
      <c r="A18" s="6" t="n">
        <v>13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customFormat="false" ht="15" hidden="false" customHeight="false" outlineLevel="0" collapsed="false">
      <c r="A19" s="7" t="n">
        <v>14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customFormat="false" ht="15" hidden="false" customHeight="false" outlineLevel="0" collapsed="false">
      <c r="A20" s="6" t="n">
        <v>15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customFormat="false" ht="15" hidden="false" customHeight="false" outlineLevel="0" collapsed="false">
      <c r="A21" s="7" t="n">
        <v>16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customFormat="false" ht="15" hidden="false" customHeight="false" outlineLevel="0" collapsed="false">
      <c r="A22" s="6" t="n">
        <v>17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customFormat="false" ht="15" hidden="false" customHeight="false" outlineLevel="0" collapsed="false">
      <c r="A23" s="7" t="n">
        <v>18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customFormat="false" ht="15" hidden="false" customHeight="false" outlineLevel="0" collapsed="false">
      <c r="A24" s="6" t="n">
        <v>19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customFormat="false" ht="15" hidden="false" customHeight="false" outlineLevel="0" collapsed="false">
      <c r="A25" s="7" t="n">
        <v>20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</sheetData>
  <dataValidations count="6">
    <dataValidation allowBlank="true" errorStyle="stop" operator="between" showDropDown="false" showErrorMessage="false" showInputMessage="false" sqref="G6:G25" type="list">
      <formula1>"Not Started,Filming,Editing,Revisions,Done"</formula1>
      <formula2>0</formula2>
    </dataValidation>
    <dataValidation allowBlank="true" errorStyle="stop" operator="between" showDropDown="false" showErrorMessage="false" showInputMessage="false" sqref="H6:H25" type="list">
      <formula1>"Pending,Pass,Redo"</formula1>
      <formula2>0</formula2>
    </dataValidation>
    <dataValidation allowBlank="true" errorStyle="stop" operator="between" showDropDown="false" showErrorMessage="false" showInputMessage="false" sqref="I6:I25" type="list">
      <formula1>"Awaiting,Approved,Changes Requested"</formula1>
      <formula2>0</formula2>
    </dataValidation>
    <dataValidation allowBlank="true" errorStyle="stop" operator="between" showDropDown="false" showErrorMessage="false" showInputMessage="false" sqref="L6:L25" type="list">
      <formula1>"No,Scheduled,Posted"</formula1>
      <formula2>0</formula2>
    </dataValidation>
    <dataValidation allowBlank="true" errorStyle="stop" operator="between" showDropDown="false" showErrorMessage="false" showInputMessage="false" sqref="K6:K25" type="list">
      <formula1>"Reels,TikTok,Shorts,Reels+TikTok,All 3,All + LinkedIn"</formula1>
      <formula2>0</formula2>
    </dataValidation>
    <dataValidation allowBlank="true" errorStyle="stop" operator="between" showDropDown="false" showErrorMessage="false" showInputMessage="false" sqref="D6:D25" type="list">
      <formula1>"Education,Myth-Buster,Treatment Demo,Patient Result,Behind the Scenes,FAQ / Objection,Provider Spotlight,Trend / Seasonal"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</cols>
  <sheetData>
    <row r="1" customFormat="false" ht="19.7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4" customFormat="false" ht="15" hidden="false" customHeight="false" outlineLevel="0" collapsed="false">
      <c r="A4" s="5" t="s">
        <v>23</v>
      </c>
      <c r="B4" s="5" t="s">
        <v>24</v>
      </c>
    </row>
    <row r="5" customFormat="false" ht="15" hidden="false" customHeight="false" outlineLevel="0" collapsed="false">
      <c r="A5" s="8" t="s">
        <v>25</v>
      </c>
      <c r="B5" s="9" t="n">
        <f aca="false">COUNTA('Production Tracker'!B6:B25)</f>
        <v>0</v>
      </c>
    </row>
    <row r="6" customFormat="false" ht="15" hidden="false" customHeight="false" outlineLevel="0" collapsed="false">
      <c r="A6" s="8" t="s">
        <v>26</v>
      </c>
      <c r="B6" s="9" t="n">
        <f aca="false">COUNTIF('Production Tracker'!G6:G25,"Editing")</f>
        <v>0</v>
      </c>
    </row>
    <row r="7" customFormat="false" ht="15" hidden="false" customHeight="false" outlineLevel="0" collapsed="false">
      <c r="A7" s="8" t="s">
        <v>27</v>
      </c>
      <c r="B7" s="9" t="n">
        <f aca="false">COUNTIF('Production Tracker'!G6:G25,"Revisions")</f>
        <v>0</v>
      </c>
    </row>
    <row r="8" customFormat="false" ht="15" hidden="false" customHeight="false" outlineLevel="0" collapsed="false">
      <c r="A8" s="8" t="s">
        <v>28</v>
      </c>
      <c r="B8" s="9" t="n">
        <f aca="false">COUNTIF('Production Tracker'!G6:G25,"Done")</f>
        <v>0</v>
      </c>
    </row>
    <row r="9" customFormat="false" ht="15" hidden="false" customHeight="false" outlineLevel="0" collapsed="false">
      <c r="A9" s="8" t="s">
        <v>29</v>
      </c>
      <c r="B9" s="9" t="n">
        <f aca="false">COUNTIF('Production Tracker'!H6:H25,"Pass")</f>
        <v>0</v>
      </c>
    </row>
    <row r="10" customFormat="false" ht="15" hidden="false" customHeight="false" outlineLevel="0" collapsed="false">
      <c r="A10" s="8" t="s">
        <v>30</v>
      </c>
      <c r="B10" s="9" t="n">
        <f aca="false">COUNTIF('Production Tracker'!I6:I25,"Approved")</f>
        <v>0</v>
      </c>
    </row>
    <row r="11" customFormat="false" ht="15" hidden="false" customHeight="false" outlineLevel="0" collapsed="false">
      <c r="A11" s="8" t="s">
        <v>31</v>
      </c>
      <c r="B11" s="9" t="n">
        <f aca="false">COUNTIF('Production Tracker'!L6:L25,"Scheduled")+COUNTIF('Production Tracker'!L6:L25,"Posted")</f>
        <v>0</v>
      </c>
    </row>
    <row r="12" customFormat="false" ht="15" hidden="false" customHeight="false" outlineLevel="0" collapsed="false">
      <c r="A12" s="8" t="s">
        <v>32</v>
      </c>
      <c r="B12" s="9" t="n">
        <f aca="false">COUNTIF('Production Tracker'!L6:L25,"Posted")</f>
        <v>0</v>
      </c>
    </row>
    <row r="14" customFormat="false" ht="15" hidden="false" customHeight="false" outlineLevel="0" collapsed="false">
      <c r="A14" s="3" t="s">
        <v>33</v>
      </c>
      <c r="B14" s="10" t="n">
        <v>20</v>
      </c>
    </row>
    <row r="15" customFormat="false" ht="15" hidden="false" customHeight="false" outlineLevel="0" collapsed="false">
      <c r="A15" s="3" t="s">
        <v>34</v>
      </c>
      <c r="B15" s="11" t="n">
        <f aca="false">B12/B14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18"/>
  </cols>
  <sheetData>
    <row r="1" customFormat="false" ht="19.7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15" hidden="false" customHeight="false" outlineLevel="0" collapsed="false">
      <c r="A4" s="5" t="s">
        <v>37</v>
      </c>
      <c r="B4" s="5" t="s">
        <v>38</v>
      </c>
      <c r="C4" s="5" t="s">
        <v>39</v>
      </c>
      <c r="D4" s="5" t="s">
        <v>40</v>
      </c>
      <c r="E4" s="5" t="s">
        <v>41</v>
      </c>
      <c r="F4" s="5" t="s">
        <v>42</v>
      </c>
      <c r="G4" s="5" t="s">
        <v>43</v>
      </c>
    </row>
    <row r="5" customFormat="false" ht="21.75" hidden="false" customHeight="true" outlineLevel="0" collapsed="false">
      <c r="A5" s="7"/>
      <c r="B5" s="7"/>
      <c r="C5" s="7"/>
      <c r="D5" s="7"/>
      <c r="E5" s="7"/>
      <c r="F5" s="7"/>
      <c r="G5" s="7"/>
      <c r="I5" s="12" t="s">
        <v>44</v>
      </c>
    </row>
    <row r="6" customFormat="false" ht="21.75" hidden="false" customHeight="true" outlineLevel="0" collapsed="false">
      <c r="A6" s="7"/>
      <c r="B6" s="7"/>
      <c r="C6" s="7"/>
      <c r="D6" s="7"/>
      <c r="E6" s="7"/>
      <c r="F6" s="7"/>
      <c r="G6" s="7"/>
    </row>
    <row r="8" customFormat="false" ht="21.75" hidden="false" customHeight="true" outlineLevel="0" collapsed="false">
      <c r="A8" s="6"/>
      <c r="B8" s="6"/>
      <c r="C8" s="6"/>
      <c r="D8" s="6"/>
      <c r="E8" s="6"/>
      <c r="F8" s="6"/>
      <c r="G8" s="6"/>
      <c r="I8" s="12" t="s">
        <v>45</v>
      </c>
    </row>
    <row r="9" customFormat="false" ht="21.75" hidden="false" customHeight="true" outlineLevel="0" collapsed="false">
      <c r="A9" s="6"/>
      <c r="B9" s="6"/>
      <c r="C9" s="6"/>
      <c r="D9" s="6"/>
      <c r="E9" s="6"/>
      <c r="F9" s="6"/>
      <c r="G9" s="6"/>
    </row>
    <row r="11" customFormat="false" ht="21.75" hidden="false" customHeight="true" outlineLevel="0" collapsed="false">
      <c r="A11" s="7"/>
      <c r="B11" s="7"/>
      <c r="C11" s="7"/>
      <c r="D11" s="7"/>
      <c r="E11" s="7"/>
      <c r="F11" s="7"/>
      <c r="G11" s="7"/>
      <c r="I11" s="12" t="s">
        <v>46</v>
      </c>
    </row>
    <row r="12" customFormat="false" ht="21.75" hidden="false" customHeight="true" outlineLevel="0" collapsed="false">
      <c r="A12" s="7"/>
      <c r="B12" s="7"/>
      <c r="C12" s="7"/>
      <c r="D12" s="7"/>
      <c r="E12" s="7"/>
      <c r="F12" s="7"/>
      <c r="G12" s="7"/>
    </row>
    <row r="14" customFormat="false" ht="21.75" hidden="false" customHeight="true" outlineLevel="0" collapsed="false">
      <c r="A14" s="6"/>
      <c r="B14" s="6"/>
      <c r="C14" s="6"/>
      <c r="D14" s="6"/>
      <c r="E14" s="6"/>
      <c r="F14" s="6"/>
      <c r="G14" s="6"/>
      <c r="I14" s="12" t="s">
        <v>47</v>
      </c>
    </row>
    <row r="15" customFormat="false" ht="21.75" hidden="false" customHeight="true" outlineLevel="0" collapsed="false">
      <c r="A15" s="6"/>
      <c r="B15" s="6"/>
      <c r="C15" s="6"/>
      <c r="D15" s="6"/>
      <c r="E15" s="6"/>
      <c r="F15" s="6"/>
      <c r="G15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2026-06-20T07:07:53Z</dcterms:created>
  <dc:creator>openpyxl</dc:creator>
  <dc:description/>
  <dc:language>en-US</dc:language>
  <cp:lastModifiedBy/>
  <dcterms:modified xsi:type="dcterms:W3CDTF">2026-06-20T07:07:53Z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